
<file path=[Content_Types].xml><?xml version="1.0" encoding="utf-8"?>
<Types xmlns="http://schemas.openxmlformats.org/package/2006/content-types">
  <Override PartName="/xl/worksheets/sheet1.xml" ContentType="application/vnd.openxmlformats-officedocument.spreadsheetml.worksheet+xml"/>
  <Override PartName="/xl/workbook.xml" ContentType="application/vnd.openxmlformats-officedocument.spreadsheetml.template.main+xml"/>
  <Override PartName="/docProps/core.xml" ContentType="application/vnd.openxmlformats-package.core-properties+xml"/>
  <Default Extension="xml" ContentType="application/xml"/>
  <Override PartName="/xl/theme/theme1.xml" ContentType="application/vnd.openxmlformats-officedocument.theme+xml"/>
  <Override PartName="/xl/charts/chart1.xml" ContentType="application/vnd.openxmlformats-officedocument.drawingml.chart+xml"/>
  <Default Extension="rels" ContentType="application/vnd.openxmlformats-package.relationships+xml"/>
  <Override PartName="/xl/sharedStrings.xml" ContentType="application/vnd.openxmlformats-officedocument.spreadsheetml.sharedStrings+xml"/>
  <Override PartName="/docProps/app.xml" ContentType="application/vnd.openxmlformats-officedocument.extended-properties+xml"/>
  <Override PartName="/xl/drawings/drawing1.xml" ContentType="application/vnd.openxmlformats-officedocument.drawing+xml"/>
  <Default Extension="jpeg" ContentType="image/jpeg"/>
  <Override PartName="/xl/calcChain.xml" ContentType="application/vnd.openxmlformats-officedocument.spreadsheetml.calcChain+xml"/>
  <Override PartName="/xl/styles.xml" ContentType="application/vnd.openxmlformats-officedocument.spreadsheetml.styles+xml"/>
</Types>
</file>

<file path=_rels/.rels><?xml version="1.0" encoding="UTF-8" standalone="yes"?>
<Relationships xmlns="http://schemas.openxmlformats.org/package/2006/relationships"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Relationship Id="rId3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ate1904="1" showInkAnnotation="0" autoCompressPictures="0"/>
  <bookViews>
    <workbookView xWindow="-20" yWindow="-20" windowWidth="24060" windowHeight="16740" tabRatio="500"/>
  </bookViews>
  <sheets>
    <sheet name="Sheet1" sheetId="1" r:id="rId1"/>
  </sheets>
  <calcPr calcId="130407" concurrentCalc="0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D5" i="1"/>
  <c r="E4"/>
  <c r="E5"/>
  <c r="E6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7"/>
  <c r="C5"/>
  <c r="C3"/>
  <c r="C4"/>
  <c r="C31"/>
  <c r="C32"/>
  <c r="C33"/>
  <c r="C34"/>
  <c r="C35"/>
  <c r="C36"/>
  <c r="C37"/>
  <c r="C38"/>
  <c r="C39"/>
  <c r="C40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7"/>
  <c r="D4"/>
  <c r="C6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</calcChain>
</file>

<file path=xl/sharedStrings.xml><?xml version="1.0" encoding="utf-8"?>
<sst xmlns="http://schemas.openxmlformats.org/spreadsheetml/2006/main" count="15" uniqueCount="15">
  <si>
    <t>Temp</t>
    <phoneticPr fontId="2" type="noConversion"/>
  </si>
  <si>
    <t>Delta</t>
    <phoneticPr fontId="2" type="noConversion"/>
  </si>
  <si>
    <t>Notes</t>
    <phoneticPr fontId="2" type="noConversion"/>
  </si>
  <si>
    <t>Time</t>
    <phoneticPr fontId="2" type="noConversion"/>
  </si>
  <si>
    <t>Drop</t>
    <phoneticPr fontId="2" type="noConversion"/>
  </si>
  <si>
    <t>grams</t>
    <phoneticPr fontId="2" type="noConversion"/>
  </si>
  <si>
    <t>2nd</t>
    <phoneticPr fontId="2" type="noConversion"/>
  </si>
  <si>
    <t>10H 0F</t>
    <phoneticPr fontId="2" type="noConversion"/>
  </si>
  <si>
    <t>Predict</t>
    <phoneticPr fontId="2" type="noConversion"/>
  </si>
  <si>
    <t>Load</t>
    <phoneticPr fontId="2" type="noConversion"/>
  </si>
  <si>
    <t>Drop</t>
    <phoneticPr fontId="2" type="noConversion"/>
  </si>
  <si>
    <t>Ambient</t>
    <phoneticPr fontId="2" type="noConversion"/>
  </si>
  <si>
    <t>F</t>
    <phoneticPr fontId="2" type="noConversion"/>
  </si>
  <si>
    <t>F</t>
    <phoneticPr fontId="2" type="noConversion"/>
  </si>
  <si>
    <t>g</t>
    <phoneticPr fontId="2" type="noConversion"/>
  </si>
</sst>
</file>

<file path=xl/styles.xml><?xml version="1.0" encoding="utf-8"?>
<styleSheet xmlns="http://schemas.openxmlformats.org/spreadsheetml/2006/main">
  <fonts count="3">
    <font>
      <sz val="10"/>
      <name val="Verdana"/>
    </font>
    <font>
      <b/>
      <sz val="10"/>
      <name val="Verdana"/>
    </font>
    <font>
      <sz val="8"/>
      <name val="Verdana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1" fontId="0" fillId="0" borderId="0" xfId="0" applyNumberFormat="1"/>
    <xf numFmtId="0" fontId="1" fillId="0" borderId="0" xfId="0" applyFont="1" applyAlignment="1">
      <alignment horizontal="center"/>
    </xf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5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4"/>
  <c:chart>
    <c:plotArea>
      <c:layout/>
      <c:barChart>
        <c:barDir val="col"/>
        <c:grouping val="clustered"/>
        <c:ser>
          <c:idx val="1"/>
          <c:order val="2"/>
          <c:tx>
            <c:strRef>
              <c:f>Sheet1!$C$1</c:f>
              <c:strCache>
                <c:ptCount val="1"/>
                <c:pt idx="0">
                  <c:v>Delta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</c:spPr>
          <c:cat>
            <c:numRef>
              <c:f>Sheet1!$A$2:$A$36</c:f>
              <c:numCache>
                <c:formatCode>h:mm:ss</c:formatCode>
                <c:ptCount val="35"/>
                <c:pt idx="0">
                  <c:v>0.0</c:v>
                </c:pt>
                <c:pt idx="1">
                  <c:v>0.000347222222222222</c:v>
                </c:pt>
                <c:pt idx="2">
                  <c:v>0.000694444444444444</c:v>
                </c:pt>
                <c:pt idx="3">
                  <c:v>0.00104166666666667</c:v>
                </c:pt>
                <c:pt idx="4">
                  <c:v>0.00138888888888889</c:v>
                </c:pt>
                <c:pt idx="5">
                  <c:v>0.00173611111111111</c:v>
                </c:pt>
                <c:pt idx="6">
                  <c:v>0.00208333333333333</c:v>
                </c:pt>
                <c:pt idx="7">
                  <c:v>0.00243055555555556</c:v>
                </c:pt>
                <c:pt idx="8">
                  <c:v>0.00277777777777778</c:v>
                </c:pt>
                <c:pt idx="9">
                  <c:v>0.003125</c:v>
                </c:pt>
                <c:pt idx="10">
                  <c:v>0.00347222222222222</c:v>
                </c:pt>
                <c:pt idx="11">
                  <c:v>0.00381944444444444</c:v>
                </c:pt>
                <c:pt idx="12">
                  <c:v>0.00416666666666667</c:v>
                </c:pt>
                <c:pt idx="13">
                  <c:v>0.00451388888888889</c:v>
                </c:pt>
                <c:pt idx="14">
                  <c:v>0.00486111111111111</c:v>
                </c:pt>
                <c:pt idx="15">
                  <c:v>0.00520833333333333</c:v>
                </c:pt>
                <c:pt idx="16">
                  <c:v>0.00555555555555556</c:v>
                </c:pt>
                <c:pt idx="17">
                  <c:v>0.00590277777777778</c:v>
                </c:pt>
                <c:pt idx="18">
                  <c:v>0.00625</c:v>
                </c:pt>
                <c:pt idx="19">
                  <c:v>0.00659722222222222</c:v>
                </c:pt>
                <c:pt idx="20">
                  <c:v>0.00694444444444444</c:v>
                </c:pt>
                <c:pt idx="21">
                  <c:v>0.00729166666666667</c:v>
                </c:pt>
                <c:pt idx="22">
                  <c:v>0.00763888888888889</c:v>
                </c:pt>
                <c:pt idx="23">
                  <c:v>0.00798611111111111</c:v>
                </c:pt>
                <c:pt idx="24">
                  <c:v>0.00833333333333333</c:v>
                </c:pt>
                <c:pt idx="25">
                  <c:v>0.00868055555555556</c:v>
                </c:pt>
                <c:pt idx="26">
                  <c:v>0.00902777777777778</c:v>
                </c:pt>
                <c:pt idx="27">
                  <c:v>0.009375</c:v>
                </c:pt>
                <c:pt idx="28">
                  <c:v>0.00972222222222222</c:v>
                </c:pt>
                <c:pt idx="29">
                  <c:v>0.0100694444444444</c:v>
                </c:pt>
                <c:pt idx="30">
                  <c:v>0.0104166666666667</c:v>
                </c:pt>
                <c:pt idx="31">
                  <c:v>0.010763888888889</c:v>
                </c:pt>
                <c:pt idx="32">
                  <c:v>0.0111111111111113</c:v>
                </c:pt>
                <c:pt idx="33">
                  <c:v>0.0114583333333336</c:v>
                </c:pt>
                <c:pt idx="34">
                  <c:v>0.0118055555555556</c:v>
                </c:pt>
              </c:numCache>
            </c:numRef>
          </c:cat>
          <c:val>
            <c:numRef>
              <c:f>Sheet1!$C$2:$C$33</c:f>
              <c:numCache>
                <c:formatCode>General</c:formatCode>
                <c:ptCount val="32"/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</c:numCache>
            </c:numRef>
          </c:val>
        </c:ser>
        <c:axId val="475261016"/>
        <c:axId val="475620488"/>
      </c:barChart>
      <c:lineChart>
        <c:grouping val="standard"/>
        <c:ser>
          <c:idx val="2"/>
          <c:order val="0"/>
          <c:tx>
            <c:v>Predict</c:v>
          </c:tx>
          <c:spPr>
            <a:ln w="3175" cap="rnd" cmpd="sng">
              <a:solidFill>
                <a:schemeClr val="bg1">
                  <a:lumMod val="50000"/>
                  <a:alpha val="50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Sheet1!$A$2:$A$40</c:f>
              <c:numCache>
                <c:formatCode>h:mm:ss</c:formatCode>
                <c:ptCount val="39"/>
                <c:pt idx="0">
                  <c:v>0.0</c:v>
                </c:pt>
                <c:pt idx="1">
                  <c:v>0.000347222222222222</c:v>
                </c:pt>
                <c:pt idx="2">
                  <c:v>0.000694444444444444</c:v>
                </c:pt>
                <c:pt idx="3">
                  <c:v>0.00104166666666667</c:v>
                </c:pt>
                <c:pt idx="4">
                  <c:v>0.00138888888888889</c:v>
                </c:pt>
                <c:pt idx="5">
                  <c:v>0.00173611111111111</c:v>
                </c:pt>
                <c:pt idx="6">
                  <c:v>0.00208333333333333</c:v>
                </c:pt>
                <c:pt idx="7">
                  <c:v>0.00243055555555556</c:v>
                </c:pt>
                <c:pt idx="8">
                  <c:v>0.00277777777777778</c:v>
                </c:pt>
                <c:pt idx="9">
                  <c:v>0.003125</c:v>
                </c:pt>
                <c:pt idx="10">
                  <c:v>0.00347222222222222</c:v>
                </c:pt>
                <c:pt idx="11">
                  <c:v>0.00381944444444444</c:v>
                </c:pt>
                <c:pt idx="12">
                  <c:v>0.00416666666666667</c:v>
                </c:pt>
                <c:pt idx="13">
                  <c:v>0.00451388888888889</c:v>
                </c:pt>
                <c:pt idx="14">
                  <c:v>0.00486111111111111</c:v>
                </c:pt>
                <c:pt idx="15">
                  <c:v>0.00520833333333333</c:v>
                </c:pt>
                <c:pt idx="16">
                  <c:v>0.00555555555555556</c:v>
                </c:pt>
                <c:pt idx="17">
                  <c:v>0.00590277777777778</c:v>
                </c:pt>
                <c:pt idx="18">
                  <c:v>0.00625</c:v>
                </c:pt>
                <c:pt idx="19">
                  <c:v>0.00659722222222222</c:v>
                </c:pt>
                <c:pt idx="20">
                  <c:v>0.00694444444444444</c:v>
                </c:pt>
                <c:pt idx="21">
                  <c:v>0.00729166666666667</c:v>
                </c:pt>
                <c:pt idx="22">
                  <c:v>0.00763888888888889</c:v>
                </c:pt>
                <c:pt idx="23">
                  <c:v>0.00798611111111111</c:v>
                </c:pt>
                <c:pt idx="24">
                  <c:v>0.00833333333333333</c:v>
                </c:pt>
                <c:pt idx="25">
                  <c:v>0.00868055555555556</c:v>
                </c:pt>
                <c:pt idx="26">
                  <c:v>0.00902777777777778</c:v>
                </c:pt>
                <c:pt idx="27">
                  <c:v>0.009375</c:v>
                </c:pt>
                <c:pt idx="28">
                  <c:v>0.00972222222222222</c:v>
                </c:pt>
                <c:pt idx="29">
                  <c:v>0.0100694444444444</c:v>
                </c:pt>
                <c:pt idx="30">
                  <c:v>0.0104166666666667</c:v>
                </c:pt>
                <c:pt idx="31">
                  <c:v>0.010763888888889</c:v>
                </c:pt>
                <c:pt idx="32">
                  <c:v>0.0111111111111113</c:v>
                </c:pt>
                <c:pt idx="33">
                  <c:v>0.0114583333333336</c:v>
                </c:pt>
                <c:pt idx="34">
                  <c:v>0.0118055555555556</c:v>
                </c:pt>
                <c:pt idx="35">
                  <c:v>0.0121527777777778</c:v>
                </c:pt>
                <c:pt idx="36">
                  <c:v>0.0125</c:v>
                </c:pt>
                <c:pt idx="37">
                  <c:v>0.0128472222222222</c:v>
                </c:pt>
                <c:pt idx="38">
                  <c:v>0.0131944444444444</c:v>
                </c:pt>
              </c:numCache>
            </c:numRef>
          </c:cat>
          <c:val>
            <c:numRef>
              <c:f>Sheet1!$E$2:$E$40</c:f>
              <c:numCache>
                <c:formatCode>General</c:formatCode>
                <c:ptCount val="39"/>
                <c:pt idx="2" formatCode="0">
                  <c:v>0.0</c:v>
                </c:pt>
                <c:pt idx="3" formatCode="0">
                  <c:v>0.0</c:v>
                </c:pt>
                <c:pt idx="4" formatCode="0">
                  <c:v>0.0</c:v>
                </c:pt>
                <c:pt idx="5" formatCode="0">
                  <c:v>0.0</c:v>
                </c:pt>
                <c:pt idx="6" formatCode="0">
                  <c:v>0.0</c:v>
                </c:pt>
                <c:pt idx="7" formatCode="0">
                  <c:v>0.0</c:v>
                </c:pt>
                <c:pt idx="8" formatCode="0">
                  <c:v>0.0</c:v>
                </c:pt>
                <c:pt idx="9" formatCode="0">
                  <c:v>0.0</c:v>
                </c:pt>
                <c:pt idx="10" formatCode="0">
                  <c:v>0.0</c:v>
                </c:pt>
                <c:pt idx="11" formatCode="0">
                  <c:v>0.0</c:v>
                </c:pt>
                <c:pt idx="12" formatCode="0">
                  <c:v>0.0</c:v>
                </c:pt>
                <c:pt idx="13" formatCode="0">
                  <c:v>0.0</c:v>
                </c:pt>
                <c:pt idx="14" formatCode="0">
                  <c:v>0.0</c:v>
                </c:pt>
                <c:pt idx="15" formatCode="0">
                  <c:v>0.0</c:v>
                </c:pt>
                <c:pt idx="16" formatCode="0">
                  <c:v>0.0</c:v>
                </c:pt>
                <c:pt idx="17" formatCode="0">
                  <c:v>0.0</c:v>
                </c:pt>
                <c:pt idx="18" formatCode="0">
                  <c:v>0.0</c:v>
                </c:pt>
                <c:pt idx="19" formatCode="0">
                  <c:v>0.0</c:v>
                </c:pt>
                <c:pt idx="20" formatCode="0">
                  <c:v>0.0</c:v>
                </c:pt>
                <c:pt idx="21" formatCode="0">
                  <c:v>0.0</c:v>
                </c:pt>
                <c:pt idx="22" formatCode="0">
                  <c:v>0.0</c:v>
                </c:pt>
                <c:pt idx="23" formatCode="0">
                  <c:v>0.0</c:v>
                </c:pt>
                <c:pt idx="24" formatCode="0">
                  <c:v>0.0</c:v>
                </c:pt>
                <c:pt idx="25" formatCode="0">
                  <c:v>0.0</c:v>
                </c:pt>
                <c:pt idx="26" formatCode="0">
                  <c:v>0.0</c:v>
                </c:pt>
                <c:pt idx="27" formatCode="0">
                  <c:v>0.0</c:v>
                </c:pt>
                <c:pt idx="28" formatCode="0">
                  <c:v>0.0</c:v>
                </c:pt>
                <c:pt idx="29" formatCode="0">
                  <c:v>0.0</c:v>
                </c:pt>
                <c:pt idx="30" formatCode="0">
                  <c:v>0.0</c:v>
                </c:pt>
                <c:pt idx="31" formatCode="0">
                  <c:v>0.0</c:v>
                </c:pt>
                <c:pt idx="32" formatCode="0">
                  <c:v>0.0</c:v>
                </c:pt>
                <c:pt idx="33" formatCode="0">
                  <c:v>0.0</c:v>
                </c:pt>
                <c:pt idx="34" formatCode="0">
                  <c:v>0.0</c:v>
                </c:pt>
                <c:pt idx="35" formatCode="0">
                  <c:v>0.0</c:v>
                </c:pt>
                <c:pt idx="36" formatCode="0">
                  <c:v>0.0</c:v>
                </c:pt>
                <c:pt idx="37" formatCode="0">
                  <c:v>0.0</c:v>
                </c:pt>
                <c:pt idx="38" formatCode="0">
                  <c:v>0.0</c:v>
                </c:pt>
              </c:numCache>
            </c:numRef>
          </c:val>
        </c:ser>
        <c:ser>
          <c:idx val="0"/>
          <c:order val="1"/>
          <c:tx>
            <c:strRef>
              <c:f>Sheet1!$B$1</c:f>
              <c:strCache>
                <c:ptCount val="1"/>
                <c:pt idx="0">
                  <c:v>Temp</c:v>
                </c:pt>
              </c:strCache>
            </c:strRef>
          </c:tx>
          <c:spPr>
            <a:ln w="19050" cmpd="sng">
              <a:solidFill>
                <a:srgbClr val="FF0000"/>
              </a:solidFill>
            </a:ln>
            <a:effectLst>
              <a:outerShdw blurRad="50800" dist="38100" dir="2700000" algn="tl" rotWithShape="0">
                <a:srgbClr val="000000">
                  <a:alpha val="43000"/>
                </a:srgbClr>
              </a:outerShdw>
            </a:effectLst>
          </c:spPr>
          <c:marker>
            <c:symbol val="plus"/>
            <c:size val="5"/>
            <c:spPr>
              <a:effectLst>
                <a:outerShdw blurRad="50800" dist="38100" dir="2700000" algn="tl" rotWithShape="0">
                  <a:srgbClr val="000000">
                    <a:alpha val="43000"/>
                  </a:srgbClr>
                </a:outerShdw>
              </a:effectLst>
            </c:spPr>
          </c:marker>
          <c:cat>
            <c:numRef>
              <c:f>Sheet1!$A$2:$A$40</c:f>
              <c:numCache>
                <c:formatCode>h:mm:ss</c:formatCode>
                <c:ptCount val="39"/>
                <c:pt idx="0">
                  <c:v>0.0</c:v>
                </c:pt>
                <c:pt idx="1">
                  <c:v>0.000347222222222222</c:v>
                </c:pt>
                <c:pt idx="2">
                  <c:v>0.000694444444444444</c:v>
                </c:pt>
                <c:pt idx="3">
                  <c:v>0.00104166666666667</c:v>
                </c:pt>
                <c:pt idx="4">
                  <c:v>0.00138888888888889</c:v>
                </c:pt>
                <c:pt idx="5">
                  <c:v>0.00173611111111111</c:v>
                </c:pt>
                <c:pt idx="6">
                  <c:v>0.00208333333333333</c:v>
                </c:pt>
                <c:pt idx="7">
                  <c:v>0.00243055555555556</c:v>
                </c:pt>
                <c:pt idx="8">
                  <c:v>0.00277777777777778</c:v>
                </c:pt>
                <c:pt idx="9">
                  <c:v>0.003125</c:v>
                </c:pt>
                <c:pt idx="10">
                  <c:v>0.00347222222222222</c:v>
                </c:pt>
                <c:pt idx="11">
                  <c:v>0.00381944444444444</c:v>
                </c:pt>
                <c:pt idx="12">
                  <c:v>0.00416666666666667</c:v>
                </c:pt>
                <c:pt idx="13">
                  <c:v>0.00451388888888889</c:v>
                </c:pt>
                <c:pt idx="14">
                  <c:v>0.00486111111111111</c:v>
                </c:pt>
                <c:pt idx="15">
                  <c:v>0.00520833333333333</c:v>
                </c:pt>
                <c:pt idx="16">
                  <c:v>0.00555555555555556</c:v>
                </c:pt>
                <c:pt idx="17">
                  <c:v>0.00590277777777778</c:v>
                </c:pt>
                <c:pt idx="18">
                  <c:v>0.00625</c:v>
                </c:pt>
                <c:pt idx="19">
                  <c:v>0.00659722222222222</c:v>
                </c:pt>
                <c:pt idx="20">
                  <c:v>0.00694444444444444</c:v>
                </c:pt>
                <c:pt idx="21">
                  <c:v>0.00729166666666667</c:v>
                </c:pt>
                <c:pt idx="22">
                  <c:v>0.00763888888888889</c:v>
                </c:pt>
                <c:pt idx="23">
                  <c:v>0.00798611111111111</c:v>
                </c:pt>
                <c:pt idx="24">
                  <c:v>0.00833333333333333</c:v>
                </c:pt>
                <c:pt idx="25">
                  <c:v>0.00868055555555556</c:v>
                </c:pt>
                <c:pt idx="26">
                  <c:v>0.00902777777777778</c:v>
                </c:pt>
                <c:pt idx="27">
                  <c:v>0.009375</c:v>
                </c:pt>
                <c:pt idx="28">
                  <c:v>0.00972222222222222</c:v>
                </c:pt>
                <c:pt idx="29">
                  <c:v>0.0100694444444444</c:v>
                </c:pt>
                <c:pt idx="30">
                  <c:v>0.0104166666666667</c:v>
                </c:pt>
                <c:pt idx="31">
                  <c:v>0.010763888888889</c:v>
                </c:pt>
                <c:pt idx="32">
                  <c:v>0.0111111111111113</c:v>
                </c:pt>
                <c:pt idx="33">
                  <c:v>0.0114583333333336</c:v>
                </c:pt>
                <c:pt idx="34">
                  <c:v>0.0118055555555556</c:v>
                </c:pt>
                <c:pt idx="35">
                  <c:v>0.0121527777777778</c:v>
                </c:pt>
                <c:pt idx="36">
                  <c:v>0.0125</c:v>
                </c:pt>
                <c:pt idx="37">
                  <c:v>0.0128472222222222</c:v>
                </c:pt>
                <c:pt idx="38">
                  <c:v>0.0131944444444444</c:v>
                </c:pt>
              </c:numCache>
            </c:numRef>
          </c:cat>
          <c:val>
            <c:numRef>
              <c:f>Sheet1!$B$2:$B$36</c:f>
              <c:numCache>
                <c:formatCode>General</c:formatCode>
                <c:ptCount val="35"/>
              </c:numCache>
            </c:numRef>
          </c:val>
          <c:smooth val="1"/>
        </c:ser>
        <c:marker val="1"/>
        <c:axId val="570027704"/>
        <c:axId val="380830904"/>
      </c:lineChart>
      <c:catAx>
        <c:axId val="570027704"/>
        <c:scaling>
          <c:orientation val="minMax"/>
        </c:scaling>
        <c:axPos val="b"/>
        <c:numFmt formatCode="h:mm:ss" sourceLinked="1"/>
        <c:tickLblPos val="nextTo"/>
        <c:crossAx val="380830904"/>
        <c:crosses val="autoZero"/>
        <c:auto val="1"/>
        <c:lblAlgn val="ctr"/>
        <c:lblOffset val="100"/>
      </c:catAx>
      <c:valAx>
        <c:axId val="380830904"/>
        <c:scaling>
          <c:orientation val="minMax"/>
          <c:max val="450.0"/>
          <c:min val="150.0"/>
        </c:scaling>
        <c:axPos val="l"/>
        <c:majorGridlines>
          <c:spPr>
            <a:ln w="3175" cmpd="sng"/>
          </c:spPr>
        </c:majorGridlines>
        <c:numFmt formatCode="General" sourceLinked="1"/>
        <c:tickLblPos val="nextTo"/>
        <c:crossAx val="570027704"/>
        <c:crosses val="autoZero"/>
        <c:crossBetween val="between"/>
        <c:majorUnit val="50.0"/>
        <c:minorUnit val="25.0"/>
      </c:valAx>
      <c:valAx>
        <c:axId val="475620488"/>
        <c:scaling>
          <c:orientation val="minMax"/>
        </c:scaling>
        <c:axPos val="r"/>
        <c:numFmt formatCode="General" sourceLinked="1"/>
        <c:tickLblPos val="nextTo"/>
        <c:crossAx val="475261016"/>
        <c:crosses val="max"/>
        <c:crossBetween val="between"/>
      </c:valAx>
      <c:catAx>
        <c:axId val="475261016"/>
        <c:scaling>
          <c:orientation val="minMax"/>
        </c:scaling>
        <c:delete val="1"/>
        <c:axPos val="b"/>
        <c:numFmt formatCode="h:mm:ss" sourceLinked="1"/>
        <c:tickLblPos val="nextTo"/>
        <c:crossAx val="475620488"/>
        <c:crosses val="autoZero"/>
        <c:auto val="1"/>
        <c:lblAlgn val="ctr"/>
        <c:lblOffset val="100"/>
      </c:catAx>
    </c:plotArea>
    <c:plotVisOnly val="1"/>
    <c:dispBlanksAs val="gap"/>
  </c:chart>
  <c:spPr>
    <a:solidFill>
      <a:schemeClr val="bg1"/>
    </a:solidFill>
  </c:spPr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0</xdr:row>
      <xdr:rowOff>25400</xdr:rowOff>
    </xdr:from>
    <xdr:to>
      <xdr:col>17</xdr:col>
      <xdr:colOff>558800</xdr:colOff>
      <xdr:row>50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mv="urn:schemas-microsoft-com:mac:vml" mc:Ignorable="mv" mc:PreserveAttributes="mv:*">
  <dimension ref="A1:H45"/>
  <sheetViews>
    <sheetView tabSelected="1" workbookViewId="0">
      <selection activeCell="A43" sqref="A43"/>
    </sheetView>
  </sheetViews>
  <sheetFormatPr baseColWidth="10" defaultRowHeight="13"/>
  <cols>
    <col min="7" max="7" width="4.7109375" bestFit="1" customWidth="1"/>
    <col min="8" max="8" width="21.85546875" customWidth="1"/>
  </cols>
  <sheetData>
    <row r="1" spans="1:8">
      <c r="A1" s="2" t="s">
        <v>3</v>
      </c>
      <c r="B1" s="2" t="s">
        <v>0</v>
      </c>
      <c r="C1" s="2" t="s">
        <v>1</v>
      </c>
      <c r="D1" s="2" t="s">
        <v>6</v>
      </c>
      <c r="E1" s="2" t="s">
        <v>8</v>
      </c>
      <c r="F1" s="2" t="s">
        <v>2</v>
      </c>
      <c r="G1">
        <v>250</v>
      </c>
      <c r="H1" t="s">
        <v>5</v>
      </c>
    </row>
    <row r="2" spans="1:8">
      <c r="A2" s="1">
        <v>0</v>
      </c>
      <c r="F2" t="s">
        <v>7</v>
      </c>
    </row>
    <row r="3" spans="1:8">
      <c r="A3" s="1">
        <v>3.4722222222222224E-4</v>
      </c>
      <c r="C3">
        <f>MAX(IF(ISNUMBER(B3),IF(ISNUMBER(B2),B3-B2,0),0),0)</f>
        <v>0</v>
      </c>
    </row>
    <row r="4" spans="1:8">
      <c r="A4" s="1">
        <v>6.9444444444444404E-4</v>
      </c>
      <c r="C4">
        <f t="shared" ref="C4:C40" si="0">MAX(IF(ISNUMBER(B4),IF(ISNUMBER(B3),B4-B3,0),0),0)</f>
        <v>0</v>
      </c>
      <c r="D4">
        <f t="shared" ref="D4:D40" si="1">C4-C3</f>
        <v>0</v>
      </c>
      <c r="E4" s="3">
        <f>IF(ISNUMBER(B2), FORECAST(A4, B2:B3, A2:A3),)</f>
        <v>0</v>
      </c>
      <c r="G4">
        <v>370</v>
      </c>
      <c r="H4" t="s">
        <v>4</v>
      </c>
    </row>
    <row r="5" spans="1:8">
      <c r="A5" s="1">
        <v>1.0416666666666699E-3</v>
      </c>
      <c r="C5">
        <f t="shared" si="0"/>
        <v>0</v>
      </c>
      <c r="D5">
        <f>IF(ISNUMBER(B5), C5-C4, 0)</f>
        <v>0</v>
      </c>
      <c r="E5" s="3">
        <f>IF(ISNUMBER(B2), FORECAST(A5, B2:B4, A2:A4), )</f>
        <v>0</v>
      </c>
    </row>
    <row r="6" spans="1:8">
      <c r="A6" s="1">
        <v>1.38888888888889E-3</v>
      </c>
      <c r="C6">
        <f t="shared" si="0"/>
        <v>0</v>
      </c>
      <c r="D6">
        <f t="shared" si="1"/>
        <v>0</v>
      </c>
      <c r="E6" s="3">
        <f>IF(ISNUMBER(B2), FORECAST(A6, B2:B5, A2:A5), 0)</f>
        <v>0</v>
      </c>
    </row>
    <row r="7" spans="1:8">
      <c r="A7" s="1">
        <v>1.7361111111111099E-3</v>
      </c>
      <c r="C7">
        <f t="shared" si="0"/>
        <v>0</v>
      </c>
      <c r="D7">
        <f t="shared" si="1"/>
        <v>0</v>
      </c>
      <c r="E7" s="3">
        <f>IF(ISNUMBER(B2), FORECAST(A7, B1:B6, A1:A6), 0)</f>
        <v>0</v>
      </c>
    </row>
    <row r="8" spans="1:8">
      <c r="A8" s="1">
        <v>2.0833333333333298E-3</v>
      </c>
      <c r="C8">
        <f t="shared" si="0"/>
        <v>0</v>
      </c>
      <c r="D8">
        <f t="shared" si="1"/>
        <v>0</v>
      </c>
      <c r="E8" s="3">
        <f t="shared" ref="E8:E40" si="2">IF(ISNUMBER(B3), FORECAST(A8, B2:B7, A2:A7), 0)</f>
        <v>0</v>
      </c>
    </row>
    <row r="9" spans="1:8">
      <c r="A9" s="1">
        <v>2.4305555555555599E-3</v>
      </c>
      <c r="C9">
        <f t="shared" si="0"/>
        <v>0</v>
      </c>
      <c r="D9">
        <f t="shared" si="1"/>
        <v>0</v>
      </c>
      <c r="E9" s="3">
        <f t="shared" si="2"/>
        <v>0</v>
      </c>
    </row>
    <row r="10" spans="1:8">
      <c r="A10" s="1">
        <v>2.7777777777777801E-3</v>
      </c>
      <c r="C10">
        <f t="shared" si="0"/>
        <v>0</v>
      </c>
      <c r="D10">
        <f t="shared" si="1"/>
        <v>0</v>
      </c>
      <c r="E10" s="3">
        <f t="shared" si="2"/>
        <v>0</v>
      </c>
    </row>
    <row r="11" spans="1:8">
      <c r="A11" s="1">
        <v>3.1250000000000002E-3</v>
      </c>
      <c r="C11">
        <f t="shared" si="0"/>
        <v>0</v>
      </c>
      <c r="D11">
        <f t="shared" si="1"/>
        <v>0</v>
      </c>
      <c r="E11" s="3">
        <f t="shared" si="2"/>
        <v>0</v>
      </c>
    </row>
    <row r="12" spans="1:8">
      <c r="A12" s="1">
        <v>3.4722222222222199E-3</v>
      </c>
      <c r="C12">
        <f t="shared" si="0"/>
        <v>0</v>
      </c>
      <c r="D12">
        <f t="shared" si="1"/>
        <v>0</v>
      </c>
      <c r="E12" s="3">
        <f t="shared" si="2"/>
        <v>0</v>
      </c>
    </row>
    <row r="13" spans="1:8">
      <c r="A13" s="1">
        <v>3.81944444444444E-3</v>
      </c>
      <c r="C13">
        <f t="shared" si="0"/>
        <v>0</v>
      </c>
      <c r="D13">
        <f t="shared" si="1"/>
        <v>0</v>
      </c>
      <c r="E13" s="3">
        <f t="shared" si="2"/>
        <v>0</v>
      </c>
    </row>
    <row r="14" spans="1:8">
      <c r="A14" s="1">
        <v>4.1666666666666701E-3</v>
      </c>
      <c r="C14">
        <f t="shared" si="0"/>
        <v>0</v>
      </c>
      <c r="D14">
        <f t="shared" si="1"/>
        <v>0</v>
      </c>
      <c r="E14" s="3">
        <f t="shared" si="2"/>
        <v>0</v>
      </c>
    </row>
    <row r="15" spans="1:8">
      <c r="A15" s="1">
        <v>4.5138888888888902E-3</v>
      </c>
      <c r="C15">
        <f t="shared" si="0"/>
        <v>0</v>
      </c>
      <c r="D15">
        <f t="shared" si="1"/>
        <v>0</v>
      </c>
      <c r="E15" s="3">
        <f t="shared" si="2"/>
        <v>0</v>
      </c>
    </row>
    <row r="16" spans="1:8">
      <c r="A16" s="1">
        <v>4.8611111111111103E-3</v>
      </c>
      <c r="C16">
        <f t="shared" si="0"/>
        <v>0</v>
      </c>
      <c r="D16">
        <f t="shared" si="1"/>
        <v>0</v>
      </c>
      <c r="E16" s="3">
        <f t="shared" si="2"/>
        <v>0</v>
      </c>
    </row>
    <row r="17" spans="1:5">
      <c r="A17" s="1">
        <v>5.2083333333333296E-3</v>
      </c>
      <c r="C17">
        <f t="shared" si="0"/>
        <v>0</v>
      </c>
      <c r="D17">
        <f t="shared" si="1"/>
        <v>0</v>
      </c>
      <c r="E17" s="3">
        <f t="shared" si="2"/>
        <v>0</v>
      </c>
    </row>
    <row r="18" spans="1:5">
      <c r="A18" s="1">
        <v>5.5555555555555601E-3</v>
      </c>
      <c r="C18">
        <f t="shared" si="0"/>
        <v>0</v>
      </c>
      <c r="D18">
        <f t="shared" si="1"/>
        <v>0</v>
      </c>
      <c r="E18" s="3">
        <f t="shared" si="2"/>
        <v>0</v>
      </c>
    </row>
    <row r="19" spans="1:5">
      <c r="A19" s="1">
        <v>5.9027777777777802E-3</v>
      </c>
      <c r="C19">
        <f t="shared" si="0"/>
        <v>0</v>
      </c>
      <c r="D19">
        <f t="shared" si="1"/>
        <v>0</v>
      </c>
      <c r="E19" s="3">
        <f t="shared" si="2"/>
        <v>0</v>
      </c>
    </row>
    <row r="20" spans="1:5">
      <c r="A20" s="1">
        <v>6.2500000000000003E-3</v>
      </c>
      <c r="C20">
        <f t="shared" si="0"/>
        <v>0</v>
      </c>
      <c r="D20">
        <f t="shared" si="1"/>
        <v>0</v>
      </c>
      <c r="E20" s="3">
        <f t="shared" si="2"/>
        <v>0</v>
      </c>
    </row>
    <row r="21" spans="1:5">
      <c r="A21" s="1">
        <v>6.5972222222222196E-3</v>
      </c>
      <c r="C21">
        <f t="shared" si="0"/>
        <v>0</v>
      </c>
      <c r="D21">
        <f t="shared" si="1"/>
        <v>0</v>
      </c>
      <c r="E21" s="3">
        <f t="shared" si="2"/>
        <v>0</v>
      </c>
    </row>
    <row r="22" spans="1:5">
      <c r="A22" s="1">
        <v>6.9444444444444397E-3</v>
      </c>
      <c r="C22">
        <f t="shared" si="0"/>
        <v>0</v>
      </c>
      <c r="D22">
        <f t="shared" si="1"/>
        <v>0</v>
      </c>
      <c r="E22" s="3">
        <f t="shared" si="2"/>
        <v>0</v>
      </c>
    </row>
    <row r="23" spans="1:5">
      <c r="A23" s="1">
        <v>7.2916666666666703E-3</v>
      </c>
      <c r="C23">
        <f t="shared" si="0"/>
        <v>0</v>
      </c>
      <c r="D23">
        <f t="shared" si="1"/>
        <v>0</v>
      </c>
      <c r="E23" s="3">
        <f t="shared" si="2"/>
        <v>0</v>
      </c>
    </row>
    <row r="24" spans="1:5">
      <c r="A24" s="1">
        <v>7.6388888888888904E-3</v>
      </c>
      <c r="C24">
        <f t="shared" si="0"/>
        <v>0</v>
      </c>
      <c r="D24">
        <f t="shared" si="1"/>
        <v>0</v>
      </c>
      <c r="E24" s="3">
        <f t="shared" si="2"/>
        <v>0</v>
      </c>
    </row>
    <row r="25" spans="1:5">
      <c r="A25" s="1">
        <v>7.9861111111111105E-3</v>
      </c>
      <c r="C25">
        <f t="shared" si="0"/>
        <v>0</v>
      </c>
      <c r="D25">
        <f t="shared" si="1"/>
        <v>0</v>
      </c>
      <c r="E25" s="3">
        <f t="shared" si="2"/>
        <v>0</v>
      </c>
    </row>
    <row r="26" spans="1:5">
      <c r="A26" s="1">
        <v>8.3333333333333297E-3</v>
      </c>
      <c r="C26">
        <f t="shared" si="0"/>
        <v>0</v>
      </c>
      <c r="D26">
        <f t="shared" si="1"/>
        <v>0</v>
      </c>
      <c r="E26" s="3">
        <f t="shared" si="2"/>
        <v>0</v>
      </c>
    </row>
    <row r="27" spans="1:5">
      <c r="A27" s="1">
        <v>8.6805555555555594E-3</v>
      </c>
      <c r="C27">
        <f t="shared" si="0"/>
        <v>0</v>
      </c>
      <c r="D27">
        <f t="shared" si="1"/>
        <v>0</v>
      </c>
      <c r="E27" s="3">
        <f t="shared" si="2"/>
        <v>0</v>
      </c>
    </row>
    <row r="28" spans="1:5">
      <c r="A28" s="1">
        <v>9.0277777777777804E-3</v>
      </c>
      <c r="C28">
        <f t="shared" si="0"/>
        <v>0</v>
      </c>
      <c r="D28">
        <f t="shared" si="1"/>
        <v>0</v>
      </c>
      <c r="E28" s="3">
        <f t="shared" si="2"/>
        <v>0</v>
      </c>
    </row>
    <row r="29" spans="1:5">
      <c r="A29" s="1">
        <v>9.3749999999999997E-3</v>
      </c>
      <c r="C29">
        <f t="shared" si="0"/>
        <v>0</v>
      </c>
      <c r="D29">
        <f t="shared" si="1"/>
        <v>0</v>
      </c>
      <c r="E29" s="3">
        <f t="shared" si="2"/>
        <v>0</v>
      </c>
    </row>
    <row r="30" spans="1:5">
      <c r="A30" s="1">
        <v>9.7222222222222206E-3</v>
      </c>
      <c r="C30">
        <f t="shared" si="0"/>
        <v>0</v>
      </c>
      <c r="D30">
        <f t="shared" si="1"/>
        <v>0</v>
      </c>
      <c r="E30" s="3">
        <f t="shared" si="2"/>
        <v>0</v>
      </c>
    </row>
    <row r="31" spans="1:5">
      <c r="A31" s="1">
        <v>1.00694444444444E-2</v>
      </c>
      <c r="C31">
        <f t="shared" si="0"/>
        <v>0</v>
      </c>
      <c r="D31">
        <f t="shared" si="1"/>
        <v>0</v>
      </c>
      <c r="E31" s="3">
        <f t="shared" si="2"/>
        <v>0</v>
      </c>
    </row>
    <row r="32" spans="1:5">
      <c r="A32" s="1">
        <v>1.0416666666666701E-2</v>
      </c>
      <c r="C32">
        <f t="shared" si="0"/>
        <v>0</v>
      </c>
      <c r="D32">
        <f t="shared" si="1"/>
        <v>0</v>
      </c>
      <c r="E32" s="3">
        <f t="shared" si="2"/>
        <v>0</v>
      </c>
    </row>
    <row r="33" spans="1:5">
      <c r="A33" s="1">
        <v>1.0763888888889E-2</v>
      </c>
      <c r="C33">
        <f t="shared" si="0"/>
        <v>0</v>
      </c>
      <c r="D33">
        <f t="shared" si="1"/>
        <v>0</v>
      </c>
      <c r="E33" s="3">
        <f t="shared" si="2"/>
        <v>0</v>
      </c>
    </row>
    <row r="34" spans="1:5">
      <c r="A34" s="1">
        <v>1.1111111111111301E-2</v>
      </c>
      <c r="C34">
        <f t="shared" si="0"/>
        <v>0</v>
      </c>
      <c r="D34">
        <f t="shared" si="1"/>
        <v>0</v>
      </c>
      <c r="E34" s="3">
        <f t="shared" si="2"/>
        <v>0</v>
      </c>
    </row>
    <row r="35" spans="1:5">
      <c r="A35" s="1">
        <v>1.14583333333336E-2</v>
      </c>
      <c r="C35">
        <f t="shared" si="0"/>
        <v>0</v>
      </c>
      <c r="D35">
        <f t="shared" si="1"/>
        <v>0</v>
      </c>
      <c r="E35" s="3">
        <f t="shared" si="2"/>
        <v>0</v>
      </c>
    </row>
    <row r="36" spans="1:5">
      <c r="A36" s="1">
        <v>1.18055555555556E-2</v>
      </c>
      <c r="C36">
        <f t="shared" si="0"/>
        <v>0</v>
      </c>
      <c r="D36">
        <f t="shared" si="1"/>
        <v>0</v>
      </c>
      <c r="E36" s="3">
        <f t="shared" si="2"/>
        <v>0</v>
      </c>
    </row>
    <row r="37" spans="1:5">
      <c r="A37" s="1">
        <v>1.2152777777777801E-2</v>
      </c>
      <c r="C37">
        <f t="shared" si="0"/>
        <v>0</v>
      </c>
      <c r="D37">
        <f t="shared" si="1"/>
        <v>0</v>
      </c>
      <c r="E37" s="3">
        <f t="shared" si="2"/>
        <v>0</v>
      </c>
    </row>
    <row r="38" spans="1:5">
      <c r="A38" s="1">
        <v>1.2500000000000001E-2</v>
      </c>
      <c r="C38">
        <f t="shared" si="0"/>
        <v>0</v>
      </c>
      <c r="D38">
        <f t="shared" si="1"/>
        <v>0</v>
      </c>
      <c r="E38" s="3">
        <f t="shared" si="2"/>
        <v>0</v>
      </c>
    </row>
    <row r="39" spans="1:5">
      <c r="A39" s="1">
        <v>1.2847222222222201E-2</v>
      </c>
      <c r="C39">
        <f t="shared" si="0"/>
        <v>0</v>
      </c>
      <c r="D39">
        <f t="shared" si="1"/>
        <v>0</v>
      </c>
      <c r="E39" s="3">
        <f t="shared" si="2"/>
        <v>0</v>
      </c>
    </row>
    <row r="40" spans="1:5">
      <c r="A40" s="1">
        <v>1.3194444444444399E-2</v>
      </c>
      <c r="C40">
        <f t="shared" si="0"/>
        <v>0</v>
      </c>
      <c r="D40">
        <f t="shared" si="1"/>
        <v>0</v>
      </c>
      <c r="E40" s="3">
        <f t="shared" si="2"/>
        <v>0</v>
      </c>
    </row>
    <row r="41" spans="1:5">
      <c r="A41" s="1"/>
    </row>
    <row r="43" spans="1:5">
      <c r="A43" t="s">
        <v>9</v>
      </c>
      <c r="C43" t="s">
        <v>14</v>
      </c>
    </row>
    <row r="44" spans="1:5">
      <c r="A44" t="s">
        <v>10</v>
      </c>
      <c r="C44" t="s">
        <v>13</v>
      </c>
    </row>
    <row r="45" spans="1:5">
      <c r="A45" t="s">
        <v>11</v>
      </c>
      <c r="C45" t="s">
        <v>12</v>
      </c>
    </row>
  </sheetData>
  <phoneticPr fontId="2" type="noConversion"/>
  <pageMargins left="0.75" right="0.75" top="1" bottom="1" header="0.5" footer="0.5"/>
  <drawing r:id="rId1"/>
  <extLst>
    <ext xmlns:mx="http://schemas.microsoft.com/office/mac/excel/2008/main" uri="http://schemas.microsoft.com/office/mac/excel/2008/main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Joost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 Lowery</dc:creator>
  <cp:lastModifiedBy>Ben Lowery</cp:lastModifiedBy>
  <dcterms:created xsi:type="dcterms:W3CDTF">2009-01-10T18:52:52Z</dcterms:created>
  <dcterms:modified xsi:type="dcterms:W3CDTF">2009-08-11T20:02:24Z</dcterms:modified>
</cp:coreProperties>
</file>